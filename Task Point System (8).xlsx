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8580"/>
  </bookViews>
  <sheets>
    <sheet name="Görev Listesi" sheetId="1" r:id="rId1"/>
    <sheet name="Developer Lis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<sst xmlns="http://schemas.openxmlformats.org/spreadsheetml/2006/main" count="172" uniqueCount="127">
  <si>
    <t>Task ID</t>
  </si>
  <si>
    <t>Owner</t>
  </si>
  <si>
    <t>Milestone</t>
  </si>
  <si>
    <t>Task</t>
  </si>
  <si>
    <t>Weight (0-100]</t>
  </si>
  <si>
    <t>Start Date and Time</t>
  </si>
  <si>
    <t>Completed Date and Time</t>
  </si>
  <si>
    <t>URL</t>
  </si>
  <si>
    <t>Details</t>
  </si>
  <si>
    <t>A. Safa Açıkgöz</t>
  </si>
  <si>
    <t>Project repository editing and summary of the project document, reaching out to the team members.</t>
  </si>
  <si>
    <t>02.05.2026 12.00</t>
  </si>
  <si>
    <t>04.05.2026 15.00</t>
  </si>
  <si>
    <t>https://github.com/safeapricot/se116-project/blob/main/README.md</t>
  </si>
  <si>
    <t>Made a mind map to visualize the project</t>
  </si>
  <si>
    <t>04.05.2026 16.00</t>
  </si>
  <si>
    <t>04.05.2026 17.10</t>
  </si>
  <si>
    <t>https://github.com/safeapricot/se116-project/blob/main/objectville%202%20mindmap.png</t>
  </si>
  <si>
    <t>Gökberk Gök</t>
  </si>
  <si>
    <t>Designed the Core Object-Oriented Hierarchy and Package Structure.</t>
  </si>
  <si>
    <t>15.05.2026 14.00</t>
  </si>
  <si>
    <t>15.05.2026 14.30</t>
  </si>
  <si>
    <t>Implemented Concrete Models for Urban Grids</t>
  </si>
  <si>
    <t>15.05.2026 15.00</t>
  </si>
  <si>
    <t>15.05.2026 16.30</t>
  </si>
  <si>
    <t>file i/o</t>
  </si>
  <si>
    <t>Started the File I/O</t>
  </si>
  <si>
    <t>16.05.2026 15.00</t>
  </si>
  <si>
    <t>16.05.2026 18.30</t>
  </si>
  <si>
    <t>Finished the File input and cellGrid generation</t>
  </si>
  <si>
    <t>19.05.2026 14.00</t>
  </si>
  <si>
    <t>19.05.2026 16.45</t>
  </si>
  <si>
    <t>BFS search</t>
  </si>
  <si>
    <t xml:space="preserve">Tried to understand the BFS search and added the isConnectable / added consumeUtility to Zone class / Made ResourcePool but deleted it after after understanding the logic </t>
  </si>
  <si>
    <t>19.05.2026 18.00</t>
  </si>
  <si>
    <t>19.05.2026 21.00</t>
  </si>
  <si>
    <t>Ayberk ER</t>
  </si>
  <si>
    <t>Zone class and consumeUtility</t>
  </si>
  <si>
    <t>23.05.2026 22.00</t>
  </si>
  <si>
    <t>24.05.2026 00.00</t>
  </si>
  <si>
    <t>Housing,Industrial and Commerical classes and level and output calculations</t>
  </si>
  <si>
    <t>24.05.2026 17.00</t>
  </si>
  <si>
    <t>24.05.2026 18.00</t>
  </si>
  <si>
    <t>providing services</t>
  </si>
  <si>
    <t>The range and service type of services buildings</t>
  </si>
  <si>
    <t>24.05.2026 22.00</t>
  </si>
  <si>
    <t>24.05.2026 23.00</t>
  </si>
  <si>
    <t>isConnectable mistakes resolved, added distributeBFS method and getNeighbors. Also added UtilityConsumer interface</t>
  </si>
  <si>
    <t>27.05.2026 18.00</t>
  </si>
  <si>
    <t>28.05.2026 02.20</t>
  </si>
  <si>
    <t>started the provideServices added setRadius to be completed tomorrow</t>
  </si>
  <si>
    <t>28.05.2026 03.00</t>
  </si>
  <si>
    <t>28.05.2026 04.00</t>
  </si>
  <si>
    <t>setRadius done // console output structure done</t>
  </si>
  <si>
    <t>28.05.2026 14.00</t>
  </si>
  <si>
    <t>28.05.2026 15.30</t>
  </si>
  <si>
    <t>Overloading</t>
  </si>
  <si>
    <t>The ResourcePool class was created, and spending methods (controlled by if/else statements) that prevent resource additions and negative balances were implemented in the code.</t>
  </si>
  <si>
    <t>28.05.2026 23.00</t>
  </si>
  <si>
    <t>29.05.2026 01.30</t>
  </si>
  <si>
    <t xml:space="preserve">
The commit problems I experienced on Git caused me to spend quite a while, which is why I was only able to push this commit to GitHub a day later.</t>
  </si>
  <si>
    <t>Arda Temel Birinci</t>
  </si>
  <si>
    <t>Implemented ResourcePool, simulation loop, and fixed Zone calculations.</t>
  </si>
  <si>
    <t>28.05.2026 23.30</t>
  </si>
  <si>
    <t>29.05.2026 04.00</t>
  </si>
  <si>
    <t>Implemented terminal arguments and error handling for the ObjectVilleGame class.</t>
  </si>
  <si>
    <t>29.05.2026 05.00</t>
  </si>
  <si>
    <t>29.05.2026 06.30</t>
  </si>
  <si>
    <t>Implemented the distribution of utilities and resources. And update zones accordingly.</t>
  </si>
  <si>
    <t>30.05.2026 14.00</t>
  </si>
  <si>
    <t>30.05.2026 15.20</t>
  </si>
  <si>
    <t>Bug fixing</t>
  </si>
  <si>
    <t>Fixed UtilityType null pointer in Providers, corrected Euclidean distance formula, fixed ResourcePool consumption logic in distributeResources</t>
  </si>
  <si>
    <t>30.05.2026 21.00</t>
  </si>
  <si>
    <t>31.05.2026 00.00</t>
  </si>
  <si>
    <t xml:space="preserve">Implemented UtilityConsumer interface and integrated it into the base Zone class. </t>
  </si>
  <si>
    <t>31.05.2026 02.00</t>
  </si>
  <si>
    <t>31.05.2026 03.00</t>
  </si>
  <si>
    <t>Fixed the typos and some methods in SimulationManager, learned the jre file creation</t>
  </si>
  <si>
    <t>01.06.2026 11.00</t>
  </si>
  <si>
    <t>01.06.2026 12.00</t>
  </si>
  <si>
    <t>Output</t>
  </si>
  <si>
    <t>added the manifest file, added the output system to a file that copies console output with System.setOut and made the logs file</t>
  </si>
  <si>
    <t>01.06.2026 12.30</t>
  </si>
  <si>
    <t>01.06.2026 14.00</t>
  </si>
  <si>
    <t>https://www.tutorialspoint.com/java/lang/system_setout.htm</t>
  </si>
  <si>
    <t>we were going to have a very bad time trying to change all the printLn's if we tried to use bufferedWriter, so i learned that there is a System.setOut method that copies all console output to a file. So i tried to implement that.</t>
  </si>
  <si>
    <t>İmplemented total utility demand calculation and utility absorb via BFS, using polymorphism</t>
  </si>
  <si>
    <t>01.06.2026 20.00</t>
  </si>
  <si>
    <t>01.06.2026 23.30</t>
  </si>
  <si>
    <t>Implemented the core game loop in SimulationManager and console output was formatted according to the desired sample output.</t>
  </si>
  <si>
    <t>03.06.2026 19.30</t>
  </si>
  <si>
    <t>03.06.2026 22.00</t>
  </si>
  <si>
    <t>Leveling systems have been implemented for all zone classes d applied a consistent, iterative logic structure for level updates.</t>
  </si>
  <si>
    <t>03.06.2026 22.30</t>
  </si>
  <si>
    <t>04.06.2026 00.00</t>
  </si>
  <si>
    <t>Developer list</t>
  </si>
  <si>
    <t>The Developer list page in Task point system automated with formulas in excel</t>
  </si>
  <si>
    <t>04.06.2026 00.40</t>
  </si>
  <si>
    <t>Refactored instanceof checks for code consistency, implemented InvalidMapException, and filled missing UtilityConsumer methods in Housing.</t>
  </si>
  <si>
    <t>04.06.2026 01.00</t>
  </si>
  <si>
    <t>Properly implemented and secured the Commercial class by adding safe map key (containsKey) checks for the Security service to prevent NullPointerException.</t>
  </si>
  <si>
    <t>03.06.2026  22.00</t>
  </si>
  <si>
    <t>04.06.2026 02.00</t>
  </si>
  <si>
    <t>Fixed map key typos (whitespace issues) and resolved multiple NullPointerException crashes in Housing class by securely integrating hasSecurity, hasHealth, and hasEducation checks.</t>
  </si>
  <si>
    <t>04.06.2026 00.30</t>
  </si>
  <si>
    <t>Refactored Zone subclasses by overriding toString() methods to ensure accurate object state logging instead of memory hash references.</t>
  </si>
  <si>
    <t>04.06.2026 04.00</t>
  </si>
  <si>
    <t>Fixed coordinate ordering and corrected getNeighbors to use the 8-cell neighborhood.</t>
  </si>
  <si>
    <t>04.06.2026 11.00</t>
  </si>
  <si>
    <t>04.06.2026 11.50</t>
  </si>
  <si>
    <t>Aligned console output with the reference output</t>
  </si>
  <si>
    <t>04.06.2026 12.00</t>
  </si>
  <si>
    <t>04.06.2026 12.50</t>
  </si>
  <si>
    <t>Prevented Industrial zones from consuming Internet only Housing and Commercial absorb Internet now, fixing utility distribution.</t>
  </si>
  <si>
    <t>04.06.2026 13.40</t>
  </si>
  <si>
    <t>Corrected zone level conditions: Industrial/Commercial require only Security for level-up; removed dead override methods from Housing.</t>
  </si>
  <si>
    <t>04.06.2026 14.00</t>
  </si>
  <si>
    <t>04.06.2026 15.00</t>
  </si>
  <si>
    <t>Fixed all the minor bugs and finalized the project</t>
  </si>
  <si>
    <t>04.06.2026 15.30</t>
  </si>
  <si>
    <t>04.06.2026 17.00</t>
  </si>
  <si>
    <t>Developer</t>
  </si>
  <si>
    <t>Number of Tasks</t>
  </si>
  <si>
    <t>Total Weight</t>
  </si>
  <si>
    <t>Score</t>
  </si>
  <si>
    <t>Team Average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</si>
</sst>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0"/>
      <color rgb="FF000000"/>
      <name val="Arial"/>
      <charset val="134"/>
      <scheme val="minor"/>
    </font>
    <font>
      <b/>
      <sz val="10"/>
      <color theme="1"/>
      <name val="Arial"/>
      <charset val="134"/>
      <scheme val="minor"/>
    </font>
    <font>
      <sz val="10"/>
      <color theme="1"/>
      <name val="Arial"/>
      <charset val="134"/>
      <scheme val="minor"/>
    </font>
    <font>
      <b/>
      <sz val="10"/>
      <color theme="1"/>
      <name val="Arial"/>
      <charset val="134"/>
    </font>
    <font>
      <u/>
      <sz val="10"/>
      <color theme="10"/>
      <name val="Arial"/>
      <charset val="134"/>
      <scheme val="minor"/>
    </font>
    <font>
      <u/>
      <sz val="10"/>
      <color rgb="FF0000FF"/>
      <name val="Arial"/>
      <charset val="134"/>
    </font>
    <font>
      <sz val="10"/>
      <color rgb="FF000000"/>
      <name val="Arial"/>
      <charset val="162"/>
      <scheme val="minor"/>
    </font>
    <font>
      <sz val="10"/>
      <color theme="1"/>
      <name val="Arial"/>
      <charset val="162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177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/>
    <xf numFmtId="0" fontId="9" fillId="0" borderId="0" applyNumberFormat="0" applyFill="0" applyBorder="0" applyAlignment="0" applyProtection="0">
      <alignment vertical="center"/>
    </xf>
    <xf numFmtId="0" fontId="8" fillId="2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4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4" borderId="4" applyNumberFormat="0" applyAlignment="0" applyProtection="0">
      <alignment vertical="center"/>
    </xf>
    <xf numFmtId="0" fontId="19" fillId="5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6"/>
    <xf numFmtId="0" fontId="5" fillId="0" borderId="0" xfId="0" applyFont="1"/>
    <xf numFmtId="58" fontId="0" fillId="0" borderId="0" xfId="0" applyNumberFormat="1"/>
    <xf numFmtId="0" fontId="0" fillId="0" borderId="0" xfId="0" applyFont="1" applyAlignment="1">
      <alignment wrapText="1"/>
    </xf>
    <xf numFmtId="0" fontId="0" fillId="0" borderId="0" xfId="0" applyFont="1"/>
    <xf numFmtId="58" fontId="0" fillId="0" borderId="0" xfId="0" applyNumberFormat="1" applyFont="1"/>
    <xf numFmtId="0" fontId="6" fillId="0" borderId="0" xfId="0" applyFont="1"/>
    <xf numFmtId="0" fontId="7" fillId="0" borderId="0" xfId="0" applyFont="1"/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utorialspoint.com/java/lang/system_setout.htm" TargetMode="External"/><Relationship Id="rId2" Type="http://schemas.openxmlformats.org/officeDocument/2006/relationships/hyperlink" Target="https://github.com/safeapricot/se116-project/blob/main/objectville%202%20mindmap.png" TargetMode="External"/><Relationship Id="rId1" Type="http://schemas.openxmlformats.org/officeDocument/2006/relationships/hyperlink" Target="https://github.com/safeapricot/se116-project/blob/main/README.m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I35"/>
  <sheetViews>
    <sheetView tabSelected="1" zoomScale="102" zoomScaleNormal="102" workbookViewId="0">
      <selection activeCell="D9" sqref="D9"/>
    </sheetView>
  </sheetViews>
  <sheetFormatPr defaultColWidth="12.6666666666667" defaultRowHeight="15.75" customHeight="1"/>
  <cols>
    <col min="1" max="1" width="7.77777777777778" customWidth="1"/>
    <col min="2" max="2" width="19.6666666666667" customWidth="1"/>
    <col min="4" max="4" width="115.564814814815" customWidth="1"/>
    <col min="6" max="6" width="17.1111111111111" customWidth="1"/>
    <col min="7" max="7" width="22.1111111111111" customWidth="1"/>
    <col min="9" max="9" width="20.3333333333333" customWidth="1"/>
  </cols>
  <sheetData>
    <row r="1" ht="13.2" spans="1: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ht="13.2" spans="1:9">
      <c r="A2" s="2">
        <v>1</v>
      </c>
      <c r="B2" s="2" t="s">
        <v>9</v>
      </c>
      <c r="D2" s="2" t="s">
        <v>10</v>
      </c>
      <c r="E2" s="2">
        <v>30</v>
      </c>
      <c r="F2" s="2" t="s">
        <v>11</v>
      </c>
      <c r="G2" s="2" t="s">
        <v>12</v>
      </c>
      <c r="H2" s="4" t="s">
        <v>13</v>
      </c>
    </row>
    <row r="3" ht="13.2" spans="1:9">
      <c r="A3" s="2">
        <v>2</v>
      </c>
      <c r="B3" s="2" t="s">
        <v>9</v>
      </c>
      <c r="D3" s="2" t="s">
        <v>14</v>
      </c>
      <c r="E3" s="2">
        <v>50</v>
      </c>
      <c r="F3" s="2" t="s">
        <v>15</v>
      </c>
      <c r="G3" s="2" t="s">
        <v>16</v>
      </c>
      <c r="H3" s="5" t="s">
        <v>17</v>
      </c>
    </row>
    <row r="4" spans="1:9">
      <c r="A4" s="2">
        <v>3</v>
      </c>
      <c r="B4" t="s">
        <v>18</v>
      </c>
      <c r="D4" t="s">
        <v>19</v>
      </c>
      <c r="E4">
        <v>60</v>
      </c>
      <c r="F4" t="s">
        <v>20</v>
      </c>
      <c r="G4" t="s">
        <v>21</v>
      </c>
    </row>
    <row r="5" customHeight="1" spans="1:9">
      <c r="A5">
        <v>4</v>
      </c>
      <c r="B5" t="s">
        <v>18</v>
      </c>
      <c r="D5" t="s">
        <v>22</v>
      </c>
      <c r="E5">
        <v>70</v>
      </c>
      <c r="F5" t="s">
        <v>23</v>
      </c>
      <c r="G5" t="s">
        <v>24</v>
      </c>
    </row>
    <row r="6" customHeight="1" spans="1:9">
      <c r="A6" s="2">
        <v>5</v>
      </c>
      <c r="B6" t="s">
        <v>9</v>
      </c>
      <c r="C6" t="s">
        <v>25</v>
      </c>
      <c r="D6" t="s">
        <v>26</v>
      </c>
      <c r="E6">
        <v>50</v>
      </c>
      <c r="F6" t="s">
        <v>27</v>
      </c>
      <c r="G6" t="s">
        <v>28</v>
      </c>
    </row>
    <row r="7" customHeight="1" spans="1:9">
      <c r="A7" s="2">
        <v>6</v>
      </c>
      <c r="B7" t="s">
        <v>9</v>
      </c>
      <c r="C7" t="s">
        <v>25</v>
      </c>
      <c r="D7" t="s">
        <v>29</v>
      </c>
      <c r="E7">
        <v>60</v>
      </c>
      <c r="F7" s="6" t="s">
        <v>30</v>
      </c>
      <c r="G7" t="s">
        <v>31</v>
      </c>
    </row>
    <row r="8" customHeight="1" spans="1:9">
      <c r="A8" s="2">
        <v>7</v>
      </c>
      <c r="B8" t="s">
        <v>9</v>
      </c>
      <c r="C8" t="s">
        <v>32</v>
      </c>
      <c r="D8" t="s">
        <v>33</v>
      </c>
      <c r="E8">
        <v>60</v>
      </c>
      <c r="F8" t="s">
        <v>34</v>
      </c>
      <c r="G8" t="s">
        <v>35</v>
      </c>
    </row>
    <row r="9" customHeight="1" spans="1:9">
      <c r="A9" s="2">
        <v>8</v>
      </c>
      <c r="B9" t="s">
        <v>36</v>
      </c>
      <c r="D9" t="s">
        <v>37</v>
      </c>
      <c r="E9">
        <v>60</v>
      </c>
      <c r="F9" t="s">
        <v>38</v>
      </c>
      <c r="G9" t="s">
        <v>39</v>
      </c>
    </row>
    <row r="10" customHeight="1" spans="1:9">
      <c r="A10" s="2">
        <v>9</v>
      </c>
      <c r="B10" t="s">
        <v>36</v>
      </c>
      <c r="D10" t="s">
        <v>40</v>
      </c>
      <c r="E10">
        <v>50</v>
      </c>
      <c r="F10" t="s">
        <v>41</v>
      </c>
      <c r="G10" t="s">
        <v>42</v>
      </c>
    </row>
    <row r="11" customHeight="1" spans="1:9">
      <c r="A11" s="2">
        <v>10</v>
      </c>
      <c r="B11" t="s">
        <v>36</v>
      </c>
      <c r="C11" t="s">
        <v>43</v>
      </c>
      <c r="D11" t="s">
        <v>44</v>
      </c>
      <c r="E11">
        <v>30</v>
      </c>
      <c r="F11" t="s">
        <v>45</v>
      </c>
      <c r="G11" t="s">
        <v>46</v>
      </c>
    </row>
    <row r="12" customHeight="1" spans="1:9">
      <c r="A12" s="2">
        <v>11</v>
      </c>
      <c r="B12" t="s">
        <v>9</v>
      </c>
      <c r="C12" t="s">
        <v>32</v>
      </c>
      <c r="D12" t="s">
        <v>47</v>
      </c>
      <c r="E12">
        <v>70</v>
      </c>
      <c r="F12" t="s">
        <v>48</v>
      </c>
      <c r="G12" t="s">
        <v>49</v>
      </c>
    </row>
    <row r="13" customHeight="1" spans="1:9">
      <c r="A13" s="2">
        <v>12</v>
      </c>
      <c r="B13" t="s">
        <v>9</v>
      </c>
      <c r="C13" t="s">
        <v>43</v>
      </c>
      <c r="D13" t="s">
        <v>50</v>
      </c>
      <c r="E13">
        <v>30</v>
      </c>
      <c r="F13" t="s">
        <v>51</v>
      </c>
      <c r="G13" t="s">
        <v>52</v>
      </c>
    </row>
    <row r="14" customHeight="1" spans="1:9">
      <c r="A14" s="2">
        <v>13</v>
      </c>
      <c r="B14" t="s">
        <v>9</v>
      </c>
      <c r="C14" t="s">
        <v>43</v>
      </c>
      <c r="D14" t="s">
        <v>53</v>
      </c>
      <c r="E14">
        <v>40</v>
      </c>
      <c r="F14" t="s">
        <v>54</v>
      </c>
      <c r="G14" t="s">
        <v>55</v>
      </c>
    </row>
    <row r="15" customHeight="1" spans="1:9">
      <c r="A15" s="2">
        <v>14</v>
      </c>
      <c r="B15" t="s">
        <v>36</v>
      </c>
      <c r="C15" t="s">
        <v>56</v>
      </c>
      <c r="D15" t="s">
        <v>57</v>
      </c>
      <c r="E15">
        <v>70</v>
      </c>
      <c r="F15" t="s">
        <v>58</v>
      </c>
      <c r="G15" t="s">
        <v>59</v>
      </c>
      <c r="I15" s="7" t="s">
        <v>60</v>
      </c>
    </row>
    <row r="16" customHeight="1" spans="1:9">
      <c r="A16" s="2">
        <v>15</v>
      </c>
      <c r="B16" t="s">
        <v>61</v>
      </c>
      <c r="D16" t="s">
        <v>62</v>
      </c>
      <c r="E16">
        <v>90</v>
      </c>
      <c r="F16" t="s">
        <v>63</v>
      </c>
      <c r="G16" t="s">
        <v>64</v>
      </c>
    </row>
    <row r="17" customHeight="1" spans="1:9">
      <c r="A17" s="2">
        <v>16</v>
      </c>
      <c r="B17" t="s">
        <v>61</v>
      </c>
      <c r="D17" t="s">
        <v>65</v>
      </c>
      <c r="E17">
        <v>60</v>
      </c>
      <c r="F17" t="s">
        <v>66</v>
      </c>
      <c r="G17" t="s">
        <v>67</v>
      </c>
    </row>
    <row r="18" customHeight="1" spans="1:9">
      <c r="A18">
        <v>17</v>
      </c>
      <c r="B18" t="s">
        <v>18</v>
      </c>
      <c r="D18" t="s">
        <v>68</v>
      </c>
      <c r="E18">
        <v>70</v>
      </c>
      <c r="F18" t="s">
        <v>69</v>
      </c>
      <c r="G18" t="s">
        <v>70</v>
      </c>
    </row>
    <row r="19" customHeight="1" spans="1:9">
      <c r="A19" s="2">
        <v>18</v>
      </c>
      <c r="B19" s="8" t="s">
        <v>36</v>
      </c>
      <c r="C19" s="8" t="s">
        <v>71</v>
      </c>
      <c r="D19" s="8" t="s">
        <v>72</v>
      </c>
      <c r="E19">
        <v>70</v>
      </c>
      <c r="F19" s="8" t="s">
        <v>73</v>
      </c>
      <c r="G19" s="8" t="s">
        <v>74</v>
      </c>
      <c r="I19" s="8"/>
    </row>
    <row r="20" customHeight="1" spans="1:9">
      <c r="A20" s="2">
        <v>19</v>
      </c>
      <c r="B20" s="8" t="s">
        <v>36</v>
      </c>
      <c r="D20" s="8" t="s">
        <v>75</v>
      </c>
      <c r="E20">
        <v>40</v>
      </c>
      <c r="F20" s="9" t="s">
        <v>76</v>
      </c>
      <c r="G20" s="8" t="s">
        <v>77</v>
      </c>
    </row>
    <row r="21" customHeight="1" spans="1:9">
      <c r="A21" s="2">
        <v>20</v>
      </c>
      <c r="B21" t="s">
        <v>9</v>
      </c>
      <c r="C21" t="s">
        <v>71</v>
      </c>
      <c r="D21" t="s">
        <v>78</v>
      </c>
      <c r="E21">
        <v>30</v>
      </c>
      <c r="F21" t="s">
        <v>79</v>
      </c>
      <c r="G21" t="s">
        <v>80</v>
      </c>
    </row>
    <row r="22" customHeight="1" spans="1:9">
      <c r="A22" s="2">
        <v>21</v>
      </c>
      <c r="B22" t="s">
        <v>9</v>
      </c>
      <c r="C22" s="10" t="s">
        <v>81</v>
      </c>
      <c r="D22" s="10" t="s">
        <v>82</v>
      </c>
      <c r="E22">
        <v>60</v>
      </c>
      <c r="F22" t="s">
        <v>83</v>
      </c>
      <c r="G22" t="s">
        <v>84</v>
      </c>
      <c r="H22" s="4" t="s">
        <v>85</v>
      </c>
      <c r="I22" s="10" t="s">
        <v>86</v>
      </c>
    </row>
    <row r="23" customHeight="1" spans="1:9">
      <c r="A23" s="11">
        <v>22</v>
      </c>
      <c r="B23" s="8" t="s">
        <v>36</v>
      </c>
      <c r="C23" s="8" t="s">
        <v>32</v>
      </c>
      <c r="D23" s="8" t="s">
        <v>87</v>
      </c>
      <c r="E23">
        <v>70</v>
      </c>
      <c r="F23" s="8" t="s">
        <v>88</v>
      </c>
      <c r="G23" s="8" t="s">
        <v>89</v>
      </c>
    </row>
    <row r="24" customHeight="1" spans="1:9">
      <c r="A24" s="2">
        <v>23</v>
      </c>
      <c r="B24" s="8" t="s">
        <v>36</v>
      </c>
      <c r="D24" s="8" t="s">
        <v>90</v>
      </c>
      <c r="E24">
        <v>80</v>
      </c>
      <c r="F24" s="8" t="s">
        <v>91</v>
      </c>
      <c r="G24" s="8" t="s">
        <v>92</v>
      </c>
    </row>
    <row r="25" customHeight="1" spans="1:9">
      <c r="A25" s="2">
        <v>24</v>
      </c>
      <c r="B25" s="8" t="s">
        <v>36</v>
      </c>
      <c r="D25" s="8" t="s">
        <v>93</v>
      </c>
      <c r="E25">
        <v>50</v>
      </c>
      <c r="F25" s="8" t="s">
        <v>94</v>
      </c>
      <c r="G25" s="8" t="s">
        <v>95</v>
      </c>
    </row>
    <row r="26" customHeight="1" spans="1:9">
      <c r="A26">
        <v>25</v>
      </c>
      <c r="B26" s="8" t="s">
        <v>9</v>
      </c>
      <c r="C26" t="s">
        <v>96</v>
      </c>
      <c r="D26" s="8" t="s">
        <v>97</v>
      </c>
      <c r="E26">
        <v>20</v>
      </c>
      <c r="F26" s="8" t="s">
        <v>95</v>
      </c>
      <c r="G26" s="8" t="s">
        <v>98</v>
      </c>
    </row>
    <row r="27" customHeight="1" spans="1:9">
      <c r="A27">
        <v>26</v>
      </c>
      <c r="B27" s="8" t="s">
        <v>61</v>
      </c>
      <c r="D27" t="s">
        <v>99</v>
      </c>
      <c r="E27">
        <v>50</v>
      </c>
      <c r="F27" s="8" t="s">
        <v>95</v>
      </c>
      <c r="G27" s="8" t="s">
        <v>100</v>
      </c>
    </row>
    <row r="28" customHeight="1" spans="1:9">
      <c r="A28">
        <v>27</v>
      </c>
      <c r="B28" s="8" t="s">
        <v>61</v>
      </c>
      <c r="D28" t="s">
        <v>101</v>
      </c>
      <c r="E28">
        <v>90</v>
      </c>
      <c r="F28" s="8" t="s">
        <v>102</v>
      </c>
      <c r="G28" s="8" t="s">
        <v>103</v>
      </c>
    </row>
    <row r="29" customHeight="1" spans="1:9">
      <c r="A29">
        <v>28</v>
      </c>
      <c r="B29" s="8" t="s">
        <v>61</v>
      </c>
      <c r="D29" t="s">
        <v>104</v>
      </c>
      <c r="E29">
        <v>40</v>
      </c>
      <c r="F29" s="8" t="s">
        <v>105</v>
      </c>
      <c r="G29" s="8" t="s">
        <v>103</v>
      </c>
    </row>
    <row r="30" customHeight="1" spans="1:9">
      <c r="A30">
        <v>29</v>
      </c>
      <c r="B30" s="8" t="s">
        <v>61</v>
      </c>
      <c r="D30" t="s">
        <v>106</v>
      </c>
      <c r="E30">
        <v>50</v>
      </c>
      <c r="F30" s="8" t="s">
        <v>103</v>
      </c>
      <c r="G30" s="8" t="s">
        <v>107</v>
      </c>
    </row>
    <row r="31" customHeight="1" spans="1:9">
      <c r="A31">
        <v>30</v>
      </c>
      <c r="B31" t="s">
        <v>18</v>
      </c>
      <c r="D31" t="s">
        <v>108</v>
      </c>
      <c r="E31">
        <v>60</v>
      </c>
      <c r="F31" t="s">
        <v>109</v>
      </c>
      <c r="G31" t="s">
        <v>110</v>
      </c>
    </row>
    <row r="32" customHeight="1" spans="1:9">
      <c r="A32">
        <v>31</v>
      </c>
      <c r="B32" t="s">
        <v>18</v>
      </c>
      <c r="D32" t="s">
        <v>111</v>
      </c>
      <c r="E32">
        <v>50</v>
      </c>
      <c r="F32" t="s">
        <v>112</v>
      </c>
      <c r="G32" t="s">
        <v>113</v>
      </c>
    </row>
    <row r="33" customHeight="1" spans="1:7">
      <c r="A33">
        <v>32</v>
      </c>
      <c r="B33" t="s">
        <v>18</v>
      </c>
      <c r="D33" t="s">
        <v>114</v>
      </c>
      <c r="E33">
        <v>60</v>
      </c>
      <c r="F33" t="s">
        <v>113</v>
      </c>
      <c r="G33" t="s">
        <v>115</v>
      </c>
    </row>
    <row r="34" customHeight="1" spans="1:7">
      <c r="A34">
        <v>33</v>
      </c>
      <c r="B34" t="s">
        <v>18</v>
      </c>
      <c r="D34" t="s">
        <v>116</v>
      </c>
      <c r="E34">
        <v>60</v>
      </c>
      <c r="F34" t="s">
        <v>117</v>
      </c>
      <c r="G34" t="s">
        <v>118</v>
      </c>
    </row>
    <row r="35" customHeight="1" spans="1:7">
      <c r="A35">
        <v>34</v>
      </c>
      <c r="B35" t="s">
        <v>18</v>
      </c>
      <c r="D35" t="s">
        <v>119</v>
      </c>
      <c r="E35">
        <v>80</v>
      </c>
      <c r="F35" t="s">
        <v>120</v>
      </c>
      <c r="G35" t="s">
        <v>121</v>
      </c>
    </row>
  </sheetData>
  <hyperlinks>
    <hyperlink ref="H2" r:id="rId1" display="https://github.com/safeapricot/se116-project/blob/main/README.md"/>
    <hyperlink ref="H3" r:id="rId2" display="https://github.com/safeapricot/se116-project/blob/main/objectville%202%20mindmap.png"/>
    <hyperlink ref="H22" r:id="rId3" display="https://www.tutorialspoint.com/java/lang/system_setout.ht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E5"/>
  <sheetViews>
    <sheetView workbookViewId="0">
      <selection activeCell="E11" sqref="E11"/>
    </sheetView>
  </sheetViews>
  <sheetFormatPr defaultColWidth="12.6666666666667" defaultRowHeight="15.75" customHeight="1" outlineLevelRow="4" outlineLevelCol="4"/>
  <cols>
    <col min="1" max="1" width="17.6666666666667" customWidth="1"/>
    <col min="2" max="2" width="15.1111111111111" customWidth="1"/>
  </cols>
  <sheetData>
    <row r="1" customHeight="1" spans="1:5">
      <c r="A1" s="1" t="s">
        <v>122</v>
      </c>
      <c r="B1" s="1" t="s">
        <v>123</v>
      </c>
      <c r="C1" s="1" t="s">
        <v>124</v>
      </c>
      <c r="D1" s="1" t="s">
        <v>125</v>
      </c>
      <c r="E1" s="1" t="s">
        <v>126</v>
      </c>
    </row>
    <row r="2" customHeight="1" spans="1:5">
      <c r="A2" s="2" t="s">
        <v>9</v>
      </c>
      <c r="B2">
        <f>COUNTIF('Görev Listesi'!B:B,A2)</f>
        <v>11</v>
      </c>
      <c r="C2">
        <f>SUMIF('Görev Listesi'!B:B,A2,'Görev Listesi'!E:E)</f>
        <v>500</v>
      </c>
      <c r="D2">
        <f>IF((C2/E2)*100&gt;100,100,ROUND((C2/E2)*100,2))</f>
        <v>100</v>
      </c>
      <c r="E2">
        <f>SUM('Görev Listesi'!E:E)/4</f>
        <v>477.5</v>
      </c>
    </row>
    <row r="3" customHeight="1" spans="1:5">
      <c r="A3" s="2" t="s">
        <v>36</v>
      </c>
      <c r="B3">
        <f>COUNTIF('Görev Listesi'!B:B,A3)</f>
        <v>9</v>
      </c>
      <c r="C3">
        <f>SUMIF('Görev Listesi'!B:B,A3,'Görev Listesi'!E:E)</f>
        <v>520</v>
      </c>
      <c r="D3">
        <f>IF((C3/E2)*100&gt;100,100,ROUND((C2/E2)*100,2))</f>
        <v>100</v>
      </c>
    </row>
    <row r="4" customHeight="1" spans="1:5">
      <c r="A4" s="2" t="s">
        <v>61</v>
      </c>
      <c r="B4">
        <f>COUNTIF('Görev Listesi'!B:B,A4)</f>
        <v>6</v>
      </c>
      <c r="C4">
        <f>SUMIF('Görev Listesi'!B:B,A4,'Görev Listesi'!E:E)</f>
        <v>380</v>
      </c>
      <c r="D4">
        <f>ROUND((C4/E2)*100,2)</f>
        <v>79.58</v>
      </c>
    </row>
    <row r="5" customHeight="1" spans="1:5">
      <c r="A5" s="2" t="s">
        <v>18</v>
      </c>
      <c r="B5">
        <f>COUNTIF('Görev Listesi'!B:B,A5)</f>
        <v>8</v>
      </c>
      <c r="C5">
        <f>SUMIF('Görev Listesi'!B:B,A5,'Görev Listesi'!E:E)</f>
        <v>510</v>
      </c>
      <c r="D5">
        <f>ROUND((C5/E2)*100,2)</f>
        <v>106.81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Görev Listesi</vt:lpstr>
      <vt:lpstr>Developer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Excalibur</cp:lastModifiedBy>
  <dcterms:created xsi:type="dcterms:W3CDTF">2026-05-24T20:58:00Z</dcterms:created>
  <dcterms:modified xsi:type="dcterms:W3CDTF">2026-06-04T15:45:12Z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3A9F8848766A40358C27F0CD84CECDC8_12</vt:lpwstr>
  </property>
  <property fmtid="{D5CDD505-2E9C-101B-9397-08002B2CF9AE}" pid="3" name="KSOProductBuildVer">
    <vt:lpwstr>1055-12.1.0.26372</vt:lpwstr>
  </property>
  <property fmtid="{D5CDD505-2E9C-101B-9397-08002B2CF9AE}" pid="4" name="CalculationRule">
    <vt:i4>0</vt:i4>
  </property>
</Properties>
</file>