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a777143d0771eb9/Belgeler/GitHub/se116-project/"/>
    </mc:Choice>
  </mc:AlternateContent>
  <xr:revisionPtr revIDLastSave="41" documentId="13_ncr:1_{D3507CEA-CF63-4E69-B90B-5A7A2460F344}" xr6:coauthVersionLast="47" xr6:coauthVersionMax="47" xr10:uidLastSave="{E1FFDA2B-2FFB-411E-8276-B03E27D0E9FA}"/>
  <bookViews>
    <workbookView xWindow="-108" yWindow="-108" windowWidth="23256" windowHeight="13896" xr2:uid="{00000000-000D-0000-FFFF-FFFF00000000}"/>
  </bookViews>
  <sheets>
    <sheet name="Görev Listesi" sheetId="1" r:id="rId1"/>
    <sheet name="Developer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B3" i="2"/>
  <c r="B4" i="2"/>
  <c r="B5" i="2"/>
  <c r="B2" i="2"/>
  <c r="C3" i="2"/>
  <c r="C4" i="2"/>
  <c r="C5" i="2"/>
  <c r="C2" i="2"/>
  <c r="D2" i="2" s="1"/>
  <c r="D5" i="2" l="1"/>
  <c r="D4" i="2"/>
  <c r="D3" i="2"/>
</calcChain>
</file>

<file path=xl/sharedStrings.xml><?xml version="1.0" encoding="utf-8"?>
<sst xmlns="http://schemas.openxmlformats.org/spreadsheetml/2006/main" count="149" uniqueCount="111">
  <si>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</si>
  <si>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</si>
  <si>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</si>
  <si>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</si>
  <si>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</si>
  <si>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</si>
  <si>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</si>
  <si>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</si>
  <si>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</si>
  <si>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</si>
  <si>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</si>
  <si>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</si>
  <si>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</si>
  <si>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</si>
  <si>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</si>
  <si>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</si>
  <si>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</si>
  <si>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</si>
  <si>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</si>
  <si>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</si>
  <si>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</si>
  <si>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</si>
  <si>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</si>
  <si>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</si>
  <si>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</si>
  <si>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</si>
  <si>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</si>
  <si>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</si>
  <si>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</si>
  <si>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</si>
  <si>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</si>
  <si>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</si>
  <si>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</si>
  <si>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</si>
  <si>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</si>
  <si>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</si>
  <si>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</si>
  <si>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</si>
  <si>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</si>
  <si>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</si>
  <si>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</si>
  <si>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</si>
  <si>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</si>
  <si>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</si>
  <si>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</si>
  <si>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</si>
  <si>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</si>
  <si>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</si>
  <si>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</si>
  <si>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</si>
  <si>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</si>
  <si>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</si>
  <si>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</si>
  <si>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</si>
  <si>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</si>
  <si>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</si>
  <si>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</si>
  <si>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</si>
  <si>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</si>
  <si>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</si>
  <si>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</si>
  <si>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</si>
  <si>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</si>
  <si>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</si>
  <si>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</si>
  <si>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</si>
  <si>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</si>
  <si>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</si>
  <si>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</si>
  <si>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</si>
  <si>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Developer</t>
  </si>
  <si>
    <t>Number of Tasks</t>
  </si>
  <si>
    <t>Total Weight</t>
  </si>
  <si>
    <t>Score</t>
  </si>
  <si>
    <t>Team Average</t>
  </si>
  <si>
    <t>Bug fixing</t>
  </si>
  <si>
    <t>Fixed UtilityType null pointer in Providers, corrected Euclidean distance formula, fixed ResourcePool consumption logic in distributeResources</t>
  </si>
  <si>
    <t>31.05.2026 00.00</t>
  </si>
  <si>
    <t>30.05.2026 21.00</t>
  </si>
  <si>
    <t xml:space="preserve">
The commit problems I experienced on Git caused me to spend quite a while, which is why I was only able to push this commit to GitHub a day later.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</si>
  <si>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</si>
  <si>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</si>
  <si>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</si>
  <si>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</si>
  <si>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</si>
  <si>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</si>
  <si>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</si>
  <si>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</si>
  <si>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https://www.tutorialspoint.com/java/lang/system_setout.htm</t>
  </si>
  <si>
    <t>01.06.2026 14.00</t>
  </si>
  <si>
    <t>01.06.2026 12.30</t>
  </si>
  <si>
    <t>added the manifest file, added the output system to a file that copies console output with System.setOut and made the logs file</t>
  </si>
  <si>
    <t>İmplemented total utility demand calculation and utility absorb via BFS, using polymorphism</t>
  </si>
  <si>
    <t>01.06.2026 23.30</t>
  </si>
  <si>
    <t>01.06.2026 20.00</t>
  </si>
  <si>
    <t>Implemented the core game loop in SimulationManager and console output was formatted according to the desired sample output.</t>
  </si>
  <si>
    <t>Leveling systems have been implemented for all zone classes d applied a consistent, iterative logic structure for level updates.</t>
  </si>
  <si>
    <t>03.06.2026 19.30</t>
  </si>
  <si>
    <t>03.06.2026 22.00</t>
  </si>
  <si>
    <t>04.06.2026 00.00</t>
  </si>
  <si>
    <t>03.06.2026 22.30</t>
  </si>
  <si>
    <t>Developer list</t>
  </si>
  <si>
    <t>The Developer list page in Task point system automated with formulas in excel</t>
  </si>
  <si>
    <t>04.06.2026 00.40</t>
  </si>
  <si>
    <t>Refactored instanceof checks for code consistency, implemented InvalidMapException, and filled missing UtilityConsumer methods in Housing.</t>
  </si>
  <si>
    <t>04.06.2026 01.00</t>
  </si>
  <si>
    <t>04.06.2026 02.00</t>
  </si>
  <si>
    <t>03.06.2026  22.00</t>
  </si>
  <si>
    <t>Properly implemented and secured the Commercial class by adding safe map key (containsKey) checks for the Security service to prevent NullPointerException.</t>
  </si>
  <si>
    <t>Fixed map key typos (whitespace issues) and resolved multiple NullPointerException crashes in Housing class by securely integrating hasSecurity, hasHealth, and hasEducation checks.</t>
  </si>
  <si>
    <t>04.06.2026 00.30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</si>
</sst>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charset val="162"/>
      <scheme val="minor"/>
    </font>
    <font>
      <sz val="10"/>
      <color theme="1"/>
      <name val="Arial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4" fontId="7" fillId="0" borderId="0" xfId="0" applyNumberFormat="1" applyFont="1"/>
    <xf numFmtId="0" fontId="9" fillId="0" borderId="0" xfId="0" applyFont="1"/>
    <xf numFmtId="0" fontId="8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0"/>
  <sheetViews>
    <sheetView tabSelected="1" topLeftCell="A7" zoomScale="102" zoomScaleNormal="102" workbookViewId="0">
      <selection activeCell="D30" sqref="D30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72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50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60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9" t="s">
        <v>79</v>
      </c>
    </row>
    <row r="16" spans="1:9" ht="15.75" customHeight="1">
      <c r="A16" s="2">
        <v>15</v>
      </c>
      <c r="B16" t="s">
        <v>60</v>
      </c>
      <c r="D16" t="s">
        <v>61</v>
      </c>
      <c r="E16">
        <v>90</v>
      </c>
      <c r="F16" t="s">
        <v>62</v>
      </c>
      <c r="G16" t="s">
        <v>63</v>
      </c>
    </row>
    <row r="17" spans="1:9" ht="15.75" customHeight="1">
      <c r="A17" s="2">
        <v>16</v>
      </c>
      <c r="B17" t="s">
        <v>60</v>
      </c>
      <c r="D17" t="s">
        <v>64</v>
      </c>
      <c r="E17">
        <v>60</v>
      </c>
      <c r="F17" t="s">
        <v>65</v>
      </c>
      <c r="G17" t="s">
        <v>66</v>
      </c>
    </row>
    <row r="18" spans="1:9" ht="15.75" customHeight="1">
      <c r="A18">
        <v>17</v>
      </c>
      <c r="B18" t="s">
        <v>18</v>
      </c>
      <c r="D18" t="s">
        <v>67</v>
      </c>
      <c r="E18">
        <v>70</v>
      </c>
      <c r="F18" t="s">
        <v>68</v>
      </c>
      <c r="G18" t="s">
        <v>69</v>
      </c>
    </row>
    <row r="19" spans="1:9" ht="15.75" customHeight="1">
      <c r="A19" s="7">
        <v>18</v>
      </c>
      <c r="B19" s="8" t="s">
        <v>36</v>
      </c>
      <c r="C19" s="8" t="s">
        <v>75</v>
      </c>
      <c r="D19" s="8" t="s">
        <v>76</v>
      </c>
      <c r="E19">
        <v>70</v>
      </c>
      <c r="F19" s="8" t="s">
        <v>78</v>
      </c>
      <c r="G19" s="8" t="s">
        <v>77</v>
      </c>
      <c r="I19" s="8"/>
    </row>
    <row r="20" spans="1:9" ht="15.75" customHeight="1">
      <c r="A20" s="2">
        <v>19</v>
      </c>
      <c r="B20" s="8" t="s">
        <v>36</v>
      </c>
      <c r="D20" s="8" t="s">
        <v>80</v>
      </c>
      <c r="E20">
        <v>40</v>
      </c>
      <c r="F20" s="10" t="s">
        <v>81</v>
      </c>
      <c r="G20" s="8" t="s">
        <v>82</v>
      </c>
    </row>
    <row r="21" spans="1:9" ht="15.75" customHeight="1">
      <c r="A21" s="2">
        <v>20</v>
      </c>
      <c r="B21" t="s">
        <v>9</v>
      </c>
      <c r="C21" t="s">
        <v>75</v>
      </c>
      <c r="D21" t="s">
        <v>83</v>
      </c>
      <c r="E21">
        <v>30</v>
      </c>
      <c r="F21" t="s">
        <v>84</v>
      </c>
      <c r="G21" t="s">
        <v>85</v>
      </c>
    </row>
    <row r="22" spans="1:9" ht="15.75" customHeight="1">
      <c r="A22" s="2">
        <v>21</v>
      </c>
      <c r="B22" t="s">
        <v>9</v>
      </c>
      <c r="C22" s="12" t="s">
        <v>86</v>
      </c>
      <c r="D22" s="12" t="s">
        <v>91</v>
      </c>
      <c r="E22">
        <v>60</v>
      </c>
      <c r="F22" t="s">
        <v>90</v>
      </c>
      <c r="G22" t="s">
        <v>89</v>
      </c>
      <c r="H22" s="4" t="s">
        <v>88</v>
      </c>
      <c r="I22" s="12" t="s">
        <v>87</v>
      </c>
    </row>
    <row r="23" spans="1:9" ht="15.75" customHeight="1">
      <c r="A23" s="11">
        <v>22</v>
      </c>
      <c r="B23" s="8" t="s">
        <v>36</v>
      </c>
      <c r="C23" s="8" t="s">
        <v>32</v>
      </c>
      <c r="D23" s="8" t="s">
        <v>92</v>
      </c>
      <c r="E23">
        <v>70</v>
      </c>
      <c r="F23" s="8" t="s">
        <v>94</v>
      </c>
      <c r="G23" s="8" t="s">
        <v>93</v>
      </c>
    </row>
    <row r="24" spans="1:9" ht="15.75" customHeight="1">
      <c r="A24" s="7">
        <v>23</v>
      </c>
      <c r="B24" s="8" t="s">
        <v>36</v>
      </c>
      <c r="D24" s="8" t="s">
        <v>95</v>
      </c>
      <c r="E24">
        <v>80</v>
      </c>
      <c r="F24" s="8" t="s">
        <v>97</v>
      </c>
      <c r="G24" s="8" t="s">
        <v>98</v>
      </c>
    </row>
    <row r="25" spans="1:9" ht="15.75" customHeight="1">
      <c r="A25" s="7">
        <v>24</v>
      </c>
      <c r="B25" s="8" t="s">
        <v>36</v>
      </c>
      <c r="D25" s="8" t="s">
        <v>96</v>
      </c>
      <c r="E25">
        <v>50</v>
      </c>
      <c r="F25" s="8" t="s">
        <v>100</v>
      </c>
      <c r="G25" s="8" t="s">
        <v>99</v>
      </c>
    </row>
    <row r="26" spans="1:9" ht="15.75" customHeight="1">
      <c r="A26">
        <v>25</v>
      </c>
      <c r="B26" s="8" t="s">
        <v>9</v>
      </c>
      <c r="C26" t="s">
        <v>101</v>
      </c>
      <c r="D26" s="8" t="s">
        <v>102</v>
      </c>
      <c r="E26">
        <v>20</v>
      </c>
      <c r="F26" s="8" t="s">
        <v>99</v>
      </c>
      <c r="G26" s="8" t="s">
        <v>103</v>
      </c>
    </row>
    <row r="27" spans="1:9" ht="15.75" customHeight="1">
      <c r="A27">
        <v>26</v>
      </c>
      <c r="B27" s="8" t="s">
        <v>60</v>
      </c>
      <c r="D27" t="s">
        <v>104</v>
      </c>
      <c r="E27">
        <v>50</v>
      </c>
      <c r="F27" s="8" t="s">
        <v>99</v>
      </c>
      <c r="G27" s="8" t="s">
        <v>105</v>
      </c>
    </row>
    <row r="28" spans="1:9" ht="15.75" customHeight="1">
      <c r="A28">
        <v>27</v>
      </c>
      <c r="B28" s="8" t="s">
        <v>60</v>
      </c>
      <c r="D28" t="s">
        <v>108</v>
      </c>
      <c r="E28">
        <v>90</v>
      </c>
      <c r="F28" s="8" t="s">
        <v>107</v>
      </c>
      <c r="G28" s="8" t="s">
        <v>106</v>
      </c>
    </row>
    <row r="29" spans="1:9" ht="15.75" customHeight="1">
      <c r="A29">
        <v>28</v>
      </c>
      <c r="B29" s="8" t="s">
        <v>60</v>
      </c>
      <c r="D29" t="s">
        <v>109</v>
      </c>
      <c r="E29">
        <v>40</v>
      </c>
      <c r="F29" s="8" t="s">
        <v>110</v>
      </c>
      <c r="G29" s="8" t="s">
        <v>106</v>
      </c>
    </row>
    <row r="30" spans="1:9" ht="15.75" customHeight="1">
      <c r="A30">
        <v>29</v>
      </c>
      <c r="B30" s="8" t="s">
        <v>60</v>
      </c>
    </row>
  </sheetData>
  <hyperlinks>
    <hyperlink ref="H2" r:id="rId1" xr:uid="{00000000-0004-0000-0000-000000000000}"/>
    <hyperlink ref="H3" r:id="rId2" xr:uid="{00000000-0004-0000-0000-000001000000}"/>
    <hyperlink ref="H22" r:id="rId3" xr:uid="{7860F6D3-9004-4A54-9D8A-03FA692AD7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workbookViewId="0">
      <selection activeCell="E11" sqref="E11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</row>
    <row r="2" spans="1:5" ht="15.75" customHeight="1">
      <c r="A2" s="2" t="s">
        <v>9</v>
      </c>
      <c r="B2">
        <f>COUNTIF('Görev Listesi'!B:B, A2)</f>
        <v>11</v>
      </c>
      <c r="C2">
        <f>SUMIF('Görev Listesi'!B:B, A2, 'Görev Listesi'!E:E)</f>
        <v>500</v>
      </c>
      <c r="D2">
        <f>IF((C2/E2)*100 &gt; 100, 100, ROUND((C2/E2)*100, 2))</f>
        <v>100</v>
      </c>
      <c r="E2">
        <f>SUM('Görev Listesi'!E:E) / 4</f>
        <v>382.5</v>
      </c>
    </row>
    <row r="3" spans="1:5" ht="15.75" customHeight="1">
      <c r="A3" s="2" t="s">
        <v>36</v>
      </c>
      <c r="B3">
        <f>COUNTIF('Görev Listesi'!B:B, A3)</f>
        <v>9</v>
      </c>
      <c r="C3">
        <f>SUMIF('Görev Listesi'!B:B, A3, 'Görev Listesi'!E:E)</f>
        <v>520</v>
      </c>
      <c r="D3">
        <f>IF((C3/E2)*100 &gt; 100, 100, ROUND((C2/E2)*100, 2))</f>
        <v>100</v>
      </c>
    </row>
    <row r="4" spans="1:5" ht="15.75" customHeight="1">
      <c r="A4" s="2" t="s">
        <v>60</v>
      </c>
      <c r="B4">
        <f>COUNTIF('Görev Listesi'!B:B, A4)</f>
        <v>6</v>
      </c>
      <c r="C4">
        <f>SUMIF('Görev Listesi'!B:B, A4, 'Görev Listesi'!E:E)</f>
        <v>330</v>
      </c>
      <c r="D4">
        <f>ROUND((C4 / E2) * 100, 2)</f>
        <v>86.27</v>
      </c>
    </row>
    <row r="5" spans="1:5" ht="15.75" customHeight="1">
      <c r="A5" s="2" t="s">
        <v>18</v>
      </c>
      <c r="B5">
        <f>COUNTIF('Görev Listesi'!B:B, A5)</f>
        <v>3</v>
      </c>
      <c r="C5">
        <f>SUMIF('Görev Listesi'!B:B, A5, 'Görev Listesi'!E:E)</f>
        <v>180</v>
      </c>
      <c r="D5">
        <f>ROUND((C5 / E2) * 100, 2)</f>
        <v>47.06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Arda Temel Birinci</cp:lastModifiedBy>
  <dcterms:created xsi:type="dcterms:W3CDTF">2026-05-24T20:58:00Z</dcterms:created>
  <dcterms:modified xsi:type="dcterms:W3CDTF">2026-06-03T23:40:40Z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